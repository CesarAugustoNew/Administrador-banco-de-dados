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CCB227B8-8268-4A84-89F2-43444AD44B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1" i="1" l="1"/>
  <c r="I60" i="1"/>
  <c r="I59" i="1"/>
  <c r="I58" i="1"/>
  <c r="I57" i="1"/>
  <c r="I56" i="1"/>
  <c r="I55" i="1"/>
  <c r="O51" i="1"/>
  <c r="O50" i="1"/>
  <c r="O49" i="1"/>
  <c r="O48" i="1"/>
  <c r="M48" i="1"/>
  <c r="H48" i="1" a="1"/>
  <c r="H48" i="1" s="1"/>
  <c r="I35" i="1"/>
  <c r="I36" i="1"/>
  <c r="I37" i="1"/>
  <c r="I38" i="1"/>
  <c r="I39" i="1"/>
  <c r="I40" i="1"/>
  <c r="I34" i="1"/>
  <c r="O28" i="1"/>
  <c r="O29" i="1"/>
  <c r="O30" i="1"/>
  <c r="O27" i="1"/>
  <c r="M27" i="1"/>
  <c r="H27" i="1" a="1"/>
  <c r="H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<sst xmlns="http://schemas.openxmlformats.org/spreadsheetml/2006/main" count="231" uniqueCount="71">
  <si>
    <t>TABELA ORIGINAL</t>
  </si>
  <si>
    <t>nº_atend</t>
  </si>
  <si>
    <t>data</t>
  </si>
  <si>
    <t>tutor</t>
  </si>
  <si>
    <t>telefone_tutor</t>
  </si>
  <si>
    <t>bairro</t>
  </si>
  <si>
    <t>pet</t>
  </si>
  <si>
    <t>especie</t>
  </si>
  <si>
    <t>raca</t>
  </si>
  <si>
    <t>servicos</t>
  </si>
  <si>
    <t>precos_tabela</t>
  </si>
  <si>
    <t>valores_cobrados</t>
  </si>
  <si>
    <t>alergias</t>
  </si>
  <si>
    <t>A1</t>
  </si>
  <si>
    <t>Lúcia Prado</t>
  </si>
  <si>
    <t>(11) 98877-1100</t>
  </si>
  <si>
    <t>Centro</t>
  </si>
  <si>
    <t>Thor</t>
  </si>
  <si>
    <t>Cão</t>
  </si>
  <si>
    <t>Golden</t>
  </si>
  <si>
    <t>Banho, Tosa</t>
  </si>
  <si>
    <t>50,00; 45,00</t>
  </si>
  <si>
    <t>50,00; 40,00</t>
  </si>
  <si>
    <t>Shampoo com perfume</t>
  </si>
  <si>
    <t>A2</t>
  </si>
  <si>
    <t>Mel</t>
  </si>
  <si>
    <t>Gato</t>
  </si>
  <si>
    <t>Siamês</t>
  </si>
  <si>
    <t>Banho</t>
  </si>
  <si>
    <t>A3</t>
  </si>
  <si>
    <t>Carlos Mota</t>
  </si>
  <si>
    <t>(11) 97766-2200</t>
  </si>
  <si>
    <t>Vila Nova</t>
  </si>
  <si>
    <t>Bob</t>
  </si>
  <si>
    <t>Vira-lata</t>
  </si>
  <si>
    <t>Banho, Corte de unha</t>
  </si>
  <si>
    <t>50,00; 15,00</t>
  </si>
  <si>
    <t>A4</t>
  </si>
  <si>
    <t>Tosa, Hidratação</t>
  </si>
  <si>
    <t>45,00; 30,00</t>
  </si>
  <si>
    <t>1ª FORMA NORMAL</t>
  </si>
  <si>
    <t>1FN: Eliminar grupos repetidos e garantir valores atômicos.</t>
  </si>
  <si>
    <t>Tosa</t>
  </si>
  <si>
    <t>Corte de unha</t>
  </si>
  <si>
    <t>Hidratação</t>
  </si>
  <si>
    <t>2ª FORMA NORMAL</t>
  </si>
  <si>
    <t>2FN: Estar na 1FN e eliminar dependências parciais da chave primária.</t>
  </si>
  <si>
    <t>CLIENTE</t>
  </si>
  <si>
    <t>PET</t>
  </si>
  <si>
    <t>SERVICOS</t>
  </si>
  <si>
    <t>ID_TUTOR</t>
  </si>
  <si>
    <t>NOME_TUTOR</t>
  </si>
  <si>
    <t>TELEFONE</t>
  </si>
  <si>
    <t>BAIRRO</t>
  </si>
  <si>
    <t>ID_PET</t>
  </si>
  <si>
    <t>NOME PET</t>
  </si>
  <si>
    <t>RACA</t>
  </si>
  <si>
    <t>ALERGIA</t>
  </si>
  <si>
    <t>ID_SERVICO</t>
  </si>
  <si>
    <t>NOME_SERVICO</t>
  </si>
  <si>
    <t>VALOR_TABELA</t>
  </si>
  <si>
    <t>GOLDEN</t>
  </si>
  <si>
    <t>SIAMES</t>
  </si>
  <si>
    <t>VIRA-LATA</t>
  </si>
  <si>
    <t>ATENDIMENTO</t>
  </si>
  <si>
    <t>ID_ATENDIMENTO</t>
  </si>
  <si>
    <t>DATA</t>
  </si>
  <si>
    <t>SERVICO_REALIZADO</t>
  </si>
  <si>
    <t>VALOR COBRADO</t>
  </si>
  <si>
    <t>3ª FORMA NORMAL</t>
  </si>
  <si>
    <t>Estar na 2FN e eliminar dependências transitivas entre atributos não-chave.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</si>
</sst>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b/>
      <sz val="14"/>
      <color theme="1"/>
      <name val="Arial Nova"/>
    </font>
    <font>
      <i/>
      <sz val="11"/>
      <color rgb="FF7030A0"/>
      <name val="Times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2" fillId="0" borderId="0" xfId="0" applyNumberFormat="1" applyFont="1" applyAlignment="1">
      <alignment vertical="center" readingOrder="1"/>
    </xf>
    <xf numFmtId="14" fontId="3" fillId="0" borderId="0" xfId="0" applyNumberFormat="1" applyFont="1" applyAlignment="1">
      <alignment vertical="center" readingOrder="1"/>
    </xf>
    <xf numFmtId="14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dd/mm/yyyy"/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B43E9-179E-403C-A87D-E44BEE4E3FB7}" name="Tabela1" displayName="Tabela1" ref="C2:N6" totalsRowShown="0" headerRowDxfId="13" dataDxfId="12">
  <autoFilter ref="C2:N6" xr:uid="{BC4B43E9-179E-403C-A87D-E44BEE4E3F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9FDE3B1B-2C81-4223-9BA2-6AD4B54151A6}" name="nº_atend" dataDxfId="11"/>
    <tableColumn id="2" xr3:uid="{77B75D42-D05B-4098-B5B8-5E89151B60BF}" name="data" dataDxfId="10"/>
    <tableColumn id="3" xr3:uid="{C45F723C-DB5F-47F6-B7A0-FA50AC412CB2}" name="tutor" dataDxfId="9"/>
    <tableColumn id="4" xr3:uid="{56FAFE73-766A-4991-85B7-528521FCBC8F}" name="telefone_tutor" dataDxfId="8"/>
    <tableColumn id="5" xr3:uid="{6B2E89E5-4041-4049-B8AA-CDA93395C467}" name="bairro" dataDxfId="7"/>
    <tableColumn id="6" xr3:uid="{BEDEB27D-6110-4A67-89BC-6BD29B85F37C}" name="pet" dataDxfId="6"/>
    <tableColumn id="7" xr3:uid="{4FF55C76-ADDE-46DE-A173-66E15D67BADD}" name="especie" dataDxfId="5"/>
    <tableColumn id="8" xr3:uid="{1DF2B106-9DA8-4E67-BF25-A74FF172A48E}" name="raca" dataDxfId="4"/>
    <tableColumn id="9" xr3:uid="{1F4A98DE-1668-4E44-BEA1-5091E426F8F9}" name="servicos" dataDxfId="3"/>
    <tableColumn id="10" xr3:uid="{A9F7C055-34DB-4836-8BF1-26462247BCD1}" name="precos_tabela" dataDxfId="2"/>
    <tableColumn id="11" xr3:uid="{808F89D7-F14D-4BD2-BDF9-BA68A8914FA2}" name="valores_cobrados" dataDxfId="1"/>
    <tableColumn id="12" xr3:uid="{4BA26F8F-AAC8-4EF4-992C-B3BDCB229A06}" name="alergia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61"/>
  <sheetViews>
    <sheetView showGridLines="0" tabSelected="1" topLeftCell="A39" workbookViewId="0">
      <selection activeCell="G46" sqref="G46:J46"/>
    </sheetView>
  </sheetViews>
  <sheetFormatPr defaultRowHeight="15"/>
  <cols>
    <col min="2" max="2" width="17.7109375" bestFit="1" customWidth="1"/>
    <col min="3" max="3" width="14.140625" bestFit="1" customWidth="1"/>
    <col min="4" max="4" width="15.7109375" style="8" bestFit="1" customWidth="1"/>
    <col min="5" max="5" width="12.5703125" bestFit="1" customWidth="1"/>
    <col min="6" max="6" width="17.28515625" bestFit="1" customWidth="1"/>
    <col min="7" max="7" width="17.7109375" bestFit="1" customWidth="1"/>
    <col min="8" max="8" width="11.5703125" bestFit="1" customWidth="1"/>
    <col min="9" max="9" width="16.5703125" bestFit="1" customWidth="1"/>
    <col min="10" max="10" width="10.42578125" bestFit="1" customWidth="1"/>
    <col min="11" max="11" width="21.42578125" bestFit="1" customWidth="1"/>
    <col min="12" max="12" width="16.85546875" bestFit="1" customWidth="1"/>
    <col min="13" max="13" width="20.5703125" bestFit="1" customWidth="1"/>
    <col min="14" max="14" width="22.7109375" bestFit="1" customWidth="1"/>
    <col min="15" max="15" width="15" bestFit="1" customWidth="1"/>
  </cols>
  <sheetData>
    <row r="1" spans="3:14" ht="18">
      <c r="C1" s="25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3:14" ht="15.75">
      <c r="C2" s="1" t="s">
        <v>1</v>
      </c>
      <c r="D2" s="6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3:14" ht="15.75">
      <c r="C3" s="2" t="s">
        <v>13</v>
      </c>
      <c r="D3" s="7">
        <v>46300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</row>
    <row r="4" spans="3:14" ht="15.75">
      <c r="C4" s="2" t="s">
        <v>24</v>
      </c>
      <c r="D4" s="7">
        <v>46300</v>
      </c>
      <c r="E4" s="2" t="s">
        <v>14</v>
      </c>
      <c r="F4" s="2" t="s">
        <v>15</v>
      </c>
      <c r="G4" s="2" t="s">
        <v>16</v>
      </c>
      <c r="H4" s="2" t="s">
        <v>25</v>
      </c>
      <c r="I4" s="2" t="s">
        <v>26</v>
      </c>
      <c r="J4" s="2" t="s">
        <v>27</v>
      </c>
      <c r="K4" s="2" t="s">
        <v>28</v>
      </c>
      <c r="L4" s="2">
        <v>50</v>
      </c>
      <c r="M4" s="2">
        <v>45</v>
      </c>
      <c r="N4" s="2"/>
    </row>
    <row r="5" spans="3:14" ht="15.75">
      <c r="C5" s="2" t="s">
        <v>29</v>
      </c>
      <c r="D5" s="7">
        <v>46303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18</v>
      </c>
      <c r="J5" s="2" t="s">
        <v>34</v>
      </c>
      <c r="K5" s="2" t="s">
        <v>35</v>
      </c>
      <c r="L5" s="2" t="s">
        <v>36</v>
      </c>
      <c r="M5" s="2" t="s">
        <v>36</v>
      </c>
      <c r="N5" s="2"/>
    </row>
    <row r="6" spans="3:14" ht="15.75">
      <c r="C6" s="2" t="s">
        <v>37</v>
      </c>
      <c r="D6" s="7">
        <v>46307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38</v>
      </c>
      <c r="L6" s="2" t="s">
        <v>39</v>
      </c>
      <c r="M6" s="2" t="s">
        <v>39</v>
      </c>
      <c r="N6" s="2" t="s">
        <v>23</v>
      </c>
    </row>
    <row r="10" spans="3:14" ht="18">
      <c r="C10" s="25" t="s">
        <v>40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3:14" ht="18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3:14">
      <c r="C12" s="26" t="s">
        <v>41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3:14">
      <c r="C13" s="10" t="s">
        <v>1</v>
      </c>
      <c r="D13" s="11" t="s">
        <v>2</v>
      </c>
      <c r="E13" s="10" t="s">
        <v>3</v>
      </c>
      <c r="F13" s="10" t="s">
        <v>4</v>
      </c>
      <c r="G13" s="10" t="s">
        <v>5</v>
      </c>
      <c r="H13" s="10" t="s">
        <v>6</v>
      </c>
      <c r="I13" s="10" t="s">
        <v>7</v>
      </c>
      <c r="J13" s="10" t="s">
        <v>8</v>
      </c>
      <c r="K13" s="10" t="s">
        <v>9</v>
      </c>
      <c r="L13" s="10" t="s">
        <v>10</v>
      </c>
      <c r="M13" s="10" t="s">
        <v>11</v>
      </c>
      <c r="N13" s="10" t="s">
        <v>12</v>
      </c>
    </row>
    <row r="14" spans="3:14">
      <c r="C14" s="10" t="s">
        <v>13</v>
      </c>
      <c r="D14" s="11">
        <v>46300</v>
      </c>
      <c r="E14" s="10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J14" s="10" t="s">
        <v>19</v>
      </c>
      <c r="K14" s="10" t="s">
        <v>28</v>
      </c>
      <c r="L14" s="10">
        <v>50</v>
      </c>
      <c r="M14" s="10">
        <v>50</v>
      </c>
      <c r="N14" s="10" t="s">
        <v>23</v>
      </c>
    </row>
    <row r="15" spans="3:14">
      <c r="C15" s="10" t="s">
        <v>13</v>
      </c>
      <c r="D15" s="11">
        <v>46300</v>
      </c>
      <c r="E15" s="10" t="s">
        <v>14</v>
      </c>
      <c r="F15" s="10" t="s">
        <v>15</v>
      </c>
      <c r="G15" s="10" t="s">
        <v>16</v>
      </c>
      <c r="H15" s="10" t="s">
        <v>17</v>
      </c>
      <c r="I15" s="10" t="s">
        <v>18</v>
      </c>
      <c r="J15" s="10" t="s">
        <v>19</v>
      </c>
      <c r="K15" s="10" t="s">
        <v>42</v>
      </c>
      <c r="L15" s="10">
        <v>45</v>
      </c>
      <c r="M15" s="10">
        <v>40</v>
      </c>
      <c r="N15" s="10" t="s">
        <v>23</v>
      </c>
    </row>
    <row r="16" spans="3:14">
      <c r="C16" s="10" t="s">
        <v>24</v>
      </c>
      <c r="D16" s="11">
        <v>46300</v>
      </c>
      <c r="E16" s="10" t="s">
        <v>14</v>
      </c>
      <c r="F16" s="10" t="s">
        <v>15</v>
      </c>
      <c r="G16" s="10" t="s">
        <v>16</v>
      </c>
      <c r="H16" s="10" t="s">
        <v>25</v>
      </c>
      <c r="I16" s="10" t="s">
        <v>26</v>
      </c>
      <c r="J16" s="10" t="s">
        <v>27</v>
      </c>
      <c r="K16" s="10" t="s">
        <v>28</v>
      </c>
      <c r="L16" s="10">
        <v>50</v>
      </c>
      <c r="M16" s="10">
        <v>45</v>
      </c>
      <c r="N16" s="10"/>
    </row>
    <row r="17" spans="2:16">
      <c r="C17" s="10" t="s">
        <v>29</v>
      </c>
      <c r="D17" s="11">
        <v>46303</v>
      </c>
      <c r="E17" s="10" t="s">
        <v>30</v>
      </c>
      <c r="F17" s="10" t="s">
        <v>31</v>
      </c>
      <c r="G17" s="10" t="s">
        <v>32</v>
      </c>
      <c r="H17" s="10" t="s">
        <v>33</v>
      </c>
      <c r="I17" s="10" t="s">
        <v>18</v>
      </c>
      <c r="J17" s="10" t="s">
        <v>34</v>
      </c>
      <c r="K17" s="10" t="s">
        <v>28</v>
      </c>
      <c r="L17" s="10">
        <v>50</v>
      </c>
      <c r="M17" s="10">
        <v>50</v>
      </c>
      <c r="N17" s="10"/>
    </row>
    <row r="18" spans="2:16">
      <c r="C18" s="10" t="s">
        <v>29</v>
      </c>
      <c r="D18" s="11">
        <v>46303</v>
      </c>
      <c r="E18" s="10" t="s">
        <v>30</v>
      </c>
      <c r="F18" s="10" t="s">
        <v>31</v>
      </c>
      <c r="G18" s="10" t="s">
        <v>32</v>
      </c>
      <c r="H18" s="10" t="s">
        <v>33</v>
      </c>
      <c r="I18" s="10" t="s">
        <v>18</v>
      </c>
      <c r="J18" s="10" t="s">
        <v>34</v>
      </c>
      <c r="K18" s="10" t="s">
        <v>43</v>
      </c>
      <c r="L18" s="10">
        <v>15</v>
      </c>
      <c r="M18" s="10">
        <v>15</v>
      </c>
      <c r="N18" s="10"/>
    </row>
    <row r="19" spans="2:16">
      <c r="C19" s="10" t="s">
        <v>37</v>
      </c>
      <c r="D19" s="11">
        <v>46307</v>
      </c>
      <c r="E19" s="10" t="s">
        <v>14</v>
      </c>
      <c r="F19" s="10" t="s">
        <v>15</v>
      </c>
      <c r="G19" s="10" t="s">
        <v>16</v>
      </c>
      <c r="H19" s="10" t="s">
        <v>17</v>
      </c>
      <c r="I19" s="10" t="s">
        <v>18</v>
      </c>
      <c r="J19" s="10" t="s">
        <v>19</v>
      </c>
      <c r="K19" s="10" t="s">
        <v>42</v>
      </c>
      <c r="L19" s="10">
        <v>45</v>
      </c>
      <c r="M19" s="10">
        <v>45</v>
      </c>
      <c r="N19" s="10" t="s">
        <v>23</v>
      </c>
    </row>
    <row r="20" spans="2:16" ht="20.25" customHeight="1">
      <c r="C20" s="10" t="s">
        <v>37</v>
      </c>
      <c r="D20" s="11">
        <v>46307</v>
      </c>
      <c r="E20" s="10" t="s">
        <v>14</v>
      </c>
      <c r="F20" s="10" t="s">
        <v>15</v>
      </c>
      <c r="G20" s="10" t="s">
        <v>16</v>
      </c>
      <c r="H20" s="10" t="s">
        <v>17</v>
      </c>
      <c r="I20" s="10" t="s">
        <v>18</v>
      </c>
      <c r="J20" s="10" t="s">
        <v>19</v>
      </c>
      <c r="K20" s="10" t="s">
        <v>44</v>
      </c>
      <c r="L20" s="10">
        <v>30</v>
      </c>
      <c r="M20" s="10">
        <v>30</v>
      </c>
      <c r="N20" s="10" t="s">
        <v>23</v>
      </c>
    </row>
    <row r="22" spans="2:16" ht="18">
      <c r="C22" s="25" t="s">
        <v>45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pans="2:16">
      <c r="C23" s="26" t="s">
        <v>46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2:16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4"/>
      <c r="P24" s="4"/>
    </row>
    <row r="25" spans="2:16">
      <c r="B25" s="21" t="s">
        <v>47</v>
      </c>
      <c r="C25" s="22"/>
      <c r="D25" s="22"/>
      <c r="E25" s="23"/>
      <c r="G25" s="27" t="s">
        <v>48</v>
      </c>
      <c r="H25" s="27"/>
      <c r="I25" s="27"/>
      <c r="J25" s="27"/>
      <c r="K25" s="27"/>
      <c r="L25" s="4"/>
      <c r="M25" s="27" t="s">
        <v>49</v>
      </c>
      <c r="N25" s="27"/>
      <c r="O25" s="27"/>
      <c r="P25" s="4"/>
    </row>
    <row r="26" spans="2:16">
      <c r="B26" s="14" t="s">
        <v>50</v>
      </c>
      <c r="C26" s="14" t="s">
        <v>51</v>
      </c>
      <c r="D26" s="13" t="s">
        <v>52</v>
      </c>
      <c r="E26" s="14" t="s">
        <v>53</v>
      </c>
      <c r="G26" s="14" t="s">
        <v>54</v>
      </c>
      <c r="H26" s="14" t="s">
        <v>55</v>
      </c>
      <c r="I26" s="14" t="s">
        <v>50</v>
      </c>
      <c r="J26" s="19" t="s">
        <v>56</v>
      </c>
      <c r="K26" s="14" t="s">
        <v>57</v>
      </c>
      <c r="L26" s="4"/>
      <c r="M26" s="10" t="s">
        <v>58</v>
      </c>
      <c r="N26" s="10" t="s">
        <v>59</v>
      </c>
      <c r="O26" s="10" t="s">
        <v>60</v>
      </c>
      <c r="P26" s="4"/>
    </row>
    <row r="27" spans="2:16">
      <c r="B27" s="10">
        <v>1</v>
      </c>
      <c r="C27" s="10" t="s">
        <v>14</v>
      </c>
      <c r="D27" s="10" t="s">
        <v>15</v>
      </c>
      <c r="E27" s="10" t="s">
        <v>16</v>
      </c>
      <c r="G27" s="10">
        <v>1</v>
      </c>
      <c r="H27" s="10" t="str" cm="1">
        <f t="array" ref="H27:H29">_xlfn.UNIQUE(H14:H20)</f>
        <v>Thor</v>
      </c>
      <c r="I27" s="10">
        <v>1</v>
      </c>
      <c r="J27" s="18" t="s">
        <v>61</v>
      </c>
      <c r="K27" s="10" t="s">
        <v>23</v>
      </c>
      <c r="L27" s="4"/>
      <c r="M27" s="10">
        <f>1</f>
        <v>1</v>
      </c>
      <c r="N27" s="10" t="s">
        <v>28</v>
      </c>
      <c r="O27" s="10">
        <f>VLOOKUP(N27,K14:L20,2,TRUE)</f>
        <v>50</v>
      </c>
      <c r="P27" s="4"/>
    </row>
    <row r="28" spans="2:16">
      <c r="B28" s="14">
        <v>2</v>
      </c>
      <c r="C28" s="16" t="s">
        <v>30</v>
      </c>
      <c r="D28" s="14" t="s">
        <v>31</v>
      </c>
      <c r="E28" s="14" t="s">
        <v>32</v>
      </c>
      <c r="G28" s="10">
        <v>2</v>
      </c>
      <c r="H28" s="10" t="str">
        <v>Mel</v>
      </c>
      <c r="I28" s="10">
        <v>1</v>
      </c>
      <c r="J28" s="18" t="s">
        <v>62</v>
      </c>
      <c r="K28" s="10"/>
      <c r="L28" s="4"/>
      <c r="M28" s="10">
        <v>2</v>
      </c>
      <c r="N28" s="10" t="s">
        <v>42</v>
      </c>
      <c r="O28" s="10">
        <f t="shared" ref="O28:O30" si="0">VLOOKUP(N28,K15:L21,2,TRUE)</f>
        <v>30</v>
      </c>
      <c r="P28" s="4"/>
    </row>
    <row r="29" spans="2:16">
      <c r="B29" s="8"/>
      <c r="C29" s="8"/>
      <c r="E29" s="8"/>
      <c r="G29" s="10">
        <v>3</v>
      </c>
      <c r="H29" s="10" t="str">
        <v>Bob</v>
      </c>
      <c r="I29" s="10">
        <v>2</v>
      </c>
      <c r="J29" s="18" t="s">
        <v>63</v>
      </c>
      <c r="K29" s="10"/>
      <c r="L29" s="4"/>
      <c r="M29" s="10">
        <v>3</v>
      </c>
      <c r="N29" s="10" t="s">
        <v>43</v>
      </c>
      <c r="O29" s="10">
        <f t="shared" si="0"/>
        <v>15</v>
      </c>
      <c r="P29" s="4"/>
    </row>
    <row r="30" spans="2:16">
      <c r="B30" s="17"/>
      <c r="C30" s="17"/>
      <c r="E30" s="17"/>
      <c r="M30" s="10">
        <v>4</v>
      </c>
      <c r="N30" s="15" t="s">
        <v>44</v>
      </c>
      <c r="O30" s="10">
        <f t="shared" si="0"/>
        <v>30</v>
      </c>
    </row>
    <row r="31" spans="2:16">
      <c r="B31" s="21" t="s">
        <v>64</v>
      </c>
      <c r="C31" s="22"/>
      <c r="D31" s="23"/>
      <c r="E31" s="17"/>
      <c r="N31" s="3"/>
    </row>
    <row r="32" spans="2:16">
      <c r="B32" s="10" t="s">
        <v>65</v>
      </c>
      <c r="C32" s="10" t="s">
        <v>66</v>
      </c>
      <c r="D32" s="11" t="s">
        <v>54</v>
      </c>
      <c r="E32" s="17"/>
      <c r="G32" s="24" t="s">
        <v>67</v>
      </c>
      <c r="H32" s="24"/>
      <c r="I32" s="24"/>
    </row>
    <row r="33" spans="2:15">
      <c r="B33" s="10" t="s">
        <v>13</v>
      </c>
      <c r="C33" s="11">
        <v>46300</v>
      </c>
      <c r="D33" s="20">
        <v>1</v>
      </c>
      <c r="E33" s="17"/>
      <c r="G33" s="10" t="s">
        <v>65</v>
      </c>
      <c r="H33" s="10" t="s">
        <v>58</v>
      </c>
      <c r="I33" s="10" t="s">
        <v>68</v>
      </c>
    </row>
    <row r="34" spans="2:15">
      <c r="B34" s="10" t="s">
        <v>13</v>
      </c>
      <c r="C34" s="11">
        <v>46300</v>
      </c>
      <c r="D34" s="20">
        <v>1</v>
      </c>
      <c r="E34" s="17"/>
      <c r="G34" s="10" t="s">
        <v>13</v>
      </c>
      <c r="H34" s="10">
        <v>1</v>
      </c>
      <c r="I34" s="10">
        <f>M14</f>
        <v>50</v>
      </c>
    </row>
    <row r="35" spans="2:15">
      <c r="B35" s="10" t="s">
        <v>24</v>
      </c>
      <c r="C35" s="11">
        <v>46300</v>
      </c>
      <c r="D35" s="20">
        <v>1</v>
      </c>
      <c r="E35" s="17"/>
      <c r="G35" s="10" t="s">
        <v>13</v>
      </c>
      <c r="H35" s="10">
        <v>2</v>
      </c>
      <c r="I35" s="10">
        <f t="shared" ref="I35:I40" si="1">M15</f>
        <v>40</v>
      </c>
    </row>
    <row r="36" spans="2:15">
      <c r="B36" s="10" t="s">
        <v>29</v>
      </c>
      <c r="C36" s="11">
        <v>46303</v>
      </c>
      <c r="D36" s="20">
        <v>2</v>
      </c>
      <c r="E36" s="17"/>
      <c r="G36" s="10" t="s">
        <v>24</v>
      </c>
      <c r="H36" s="10">
        <v>1</v>
      </c>
      <c r="I36" s="10">
        <f t="shared" si="1"/>
        <v>45</v>
      </c>
    </row>
    <row r="37" spans="2:15">
      <c r="B37" s="10" t="s">
        <v>29</v>
      </c>
      <c r="C37" s="11">
        <v>46303</v>
      </c>
      <c r="D37" s="20">
        <v>2</v>
      </c>
      <c r="E37" s="17"/>
      <c r="G37" s="10" t="s">
        <v>29</v>
      </c>
      <c r="H37" s="10">
        <v>1</v>
      </c>
      <c r="I37" s="10">
        <f t="shared" si="1"/>
        <v>50</v>
      </c>
    </row>
    <row r="38" spans="2:15">
      <c r="B38" s="10" t="s">
        <v>37</v>
      </c>
      <c r="C38" s="11">
        <v>46307</v>
      </c>
      <c r="D38" s="20">
        <v>1</v>
      </c>
      <c r="E38" s="17"/>
      <c r="G38" s="10" t="s">
        <v>29</v>
      </c>
      <c r="H38" s="10">
        <v>3</v>
      </c>
      <c r="I38" s="10">
        <f t="shared" si="1"/>
        <v>15</v>
      </c>
    </row>
    <row r="39" spans="2:15">
      <c r="B39" s="10" t="s">
        <v>37</v>
      </c>
      <c r="C39" s="11">
        <v>46307</v>
      </c>
      <c r="D39" s="20">
        <v>1</v>
      </c>
      <c r="E39" s="17"/>
      <c r="G39" s="10" t="s">
        <v>37</v>
      </c>
      <c r="H39" s="10">
        <v>2</v>
      </c>
      <c r="I39" s="10">
        <f t="shared" si="1"/>
        <v>45</v>
      </c>
    </row>
    <row r="40" spans="2:15">
      <c r="C40" s="5"/>
      <c r="G40" s="10" t="s">
        <v>37</v>
      </c>
      <c r="H40" s="10">
        <v>4</v>
      </c>
      <c r="I40" s="10">
        <f t="shared" si="1"/>
        <v>30</v>
      </c>
    </row>
    <row r="43" spans="2:15" ht="18">
      <c r="C43" s="25" t="s">
        <v>69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2:15">
      <c r="C44" s="26" t="s">
        <v>70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6" spans="2:15">
      <c r="B46" s="21" t="s">
        <v>47</v>
      </c>
      <c r="C46" s="22"/>
      <c r="D46" s="22"/>
      <c r="E46" s="23"/>
      <c r="G46" s="27" t="s">
        <v>48</v>
      </c>
      <c r="H46" s="27"/>
      <c r="I46" s="27"/>
      <c r="J46" s="27"/>
      <c r="L46" s="4"/>
      <c r="M46" s="27" t="s">
        <v>49</v>
      </c>
      <c r="N46" s="27"/>
      <c r="O46" s="27"/>
    </row>
    <row r="47" spans="2:15">
      <c r="B47" s="14" t="s">
        <v>50</v>
      </c>
      <c r="C47" s="14" t="s">
        <v>51</v>
      </c>
      <c r="D47" s="13" t="s">
        <v>52</v>
      </c>
      <c r="E47" s="14" t="s">
        <v>53</v>
      </c>
      <c r="G47" s="14" t="s">
        <v>54</v>
      </c>
      <c r="H47" s="14" t="s">
        <v>55</v>
      </c>
      <c r="I47" s="19" t="s">
        <v>50</v>
      </c>
      <c r="J47" s="14" t="s">
        <v>56</v>
      </c>
      <c r="L47" s="4"/>
      <c r="M47" s="10" t="s">
        <v>58</v>
      </c>
      <c r="N47" s="10" t="s">
        <v>59</v>
      </c>
      <c r="O47" s="10" t="s">
        <v>60</v>
      </c>
    </row>
    <row r="48" spans="2:15">
      <c r="B48" s="10">
        <v>1</v>
      </c>
      <c r="C48" s="10" t="s">
        <v>14</v>
      </c>
      <c r="D48" s="10" t="s">
        <v>15</v>
      </c>
      <c r="E48" s="10" t="s">
        <v>16</v>
      </c>
      <c r="G48" s="10">
        <v>1</v>
      </c>
      <c r="H48" s="10" cm="1">
        <f t="array" ref="H48:H52">_xlfn.UNIQUE(H35:H41)</f>
        <v>2</v>
      </c>
      <c r="I48" s="18">
        <v>1</v>
      </c>
      <c r="J48" s="10" t="s">
        <v>61</v>
      </c>
      <c r="L48" s="4"/>
      <c r="M48" s="10">
        <f>1</f>
        <v>1</v>
      </c>
      <c r="N48" s="10" t="s">
        <v>28</v>
      </c>
      <c r="O48" s="10" t="e">
        <f>VLOOKUP(N48,K35:L41,2,TRUE)</f>
        <v>#N/A</v>
      </c>
    </row>
    <row r="49" spans="2:15">
      <c r="B49" s="14">
        <v>2</v>
      </c>
      <c r="C49" s="16" t="s">
        <v>30</v>
      </c>
      <c r="D49" s="14" t="s">
        <v>31</v>
      </c>
      <c r="E49" s="14" t="s">
        <v>32</v>
      </c>
      <c r="G49" s="10">
        <v>2</v>
      </c>
      <c r="H49" s="10">
        <v>1</v>
      </c>
      <c r="I49" s="18">
        <v>1</v>
      </c>
      <c r="J49" s="10" t="s">
        <v>62</v>
      </c>
      <c r="L49" s="4"/>
      <c r="M49" s="10">
        <v>2</v>
      </c>
      <c r="N49" s="10" t="s">
        <v>42</v>
      </c>
      <c r="O49" s="10" t="e">
        <f t="shared" ref="O49:O51" si="2">VLOOKUP(N49,K36:L42,2,TRUE)</f>
        <v>#N/A</v>
      </c>
    </row>
    <row r="50" spans="2:15">
      <c r="B50" s="8"/>
      <c r="C50" s="8"/>
      <c r="E50" s="8"/>
      <c r="G50" s="10">
        <v>3</v>
      </c>
      <c r="H50" s="10">
        <v>3</v>
      </c>
      <c r="I50" s="18">
        <v>2</v>
      </c>
      <c r="J50" s="10" t="s">
        <v>63</v>
      </c>
      <c r="L50" s="4"/>
      <c r="M50" s="10">
        <v>3</v>
      </c>
      <c r="N50" s="10" t="s">
        <v>43</v>
      </c>
      <c r="O50" s="10" t="e">
        <f t="shared" si="2"/>
        <v>#N/A</v>
      </c>
    </row>
    <row r="51" spans="2:15">
      <c r="B51" s="17"/>
      <c r="C51" s="17"/>
      <c r="E51" s="17"/>
      <c r="H51">
        <v>4</v>
      </c>
      <c r="M51" s="10">
        <v>4</v>
      </c>
      <c r="N51" s="15" t="s">
        <v>44</v>
      </c>
      <c r="O51" s="10" t="e">
        <f t="shared" si="2"/>
        <v>#N/A</v>
      </c>
    </row>
    <row r="52" spans="2:15">
      <c r="B52" s="21" t="s">
        <v>64</v>
      </c>
      <c r="C52" s="22"/>
      <c r="D52" s="23"/>
      <c r="E52" s="17"/>
      <c r="H52">
        <v>0</v>
      </c>
      <c r="N52" s="3"/>
    </row>
    <row r="53" spans="2:15">
      <c r="B53" s="10" t="s">
        <v>65</v>
      </c>
      <c r="C53" s="10" t="s">
        <v>66</v>
      </c>
      <c r="D53" s="11" t="s">
        <v>54</v>
      </c>
      <c r="E53" s="17"/>
      <c r="G53" s="24" t="s">
        <v>67</v>
      </c>
      <c r="H53" s="24"/>
      <c r="I53" s="24"/>
    </row>
    <row r="54" spans="2:15">
      <c r="B54" s="10" t="s">
        <v>13</v>
      </c>
      <c r="C54" s="11">
        <v>46300</v>
      </c>
      <c r="D54" s="20">
        <v>1</v>
      </c>
      <c r="E54" s="17"/>
      <c r="G54" s="10" t="s">
        <v>65</v>
      </c>
      <c r="H54" s="10" t="s">
        <v>58</v>
      </c>
      <c r="I54" s="10" t="s">
        <v>68</v>
      </c>
    </row>
    <row r="55" spans="2:15">
      <c r="B55" s="10" t="s">
        <v>13</v>
      </c>
      <c r="C55" s="11">
        <v>46300</v>
      </c>
      <c r="D55" s="20">
        <v>1</v>
      </c>
      <c r="E55" s="17"/>
      <c r="G55" s="10" t="s">
        <v>13</v>
      </c>
      <c r="H55" s="10">
        <v>1</v>
      </c>
      <c r="I55" s="10">
        <f>M35</f>
        <v>0</v>
      </c>
    </row>
    <row r="56" spans="2:15">
      <c r="B56" s="10" t="s">
        <v>24</v>
      </c>
      <c r="C56" s="11">
        <v>46300</v>
      </c>
      <c r="D56" s="20">
        <v>1</v>
      </c>
      <c r="E56" s="17"/>
      <c r="G56" s="10" t="s">
        <v>13</v>
      </c>
      <c r="H56" s="10">
        <v>2</v>
      </c>
      <c r="I56" s="10">
        <f t="shared" ref="I56:I61" si="3">M36</f>
        <v>0</v>
      </c>
    </row>
    <row r="57" spans="2:15">
      <c r="B57" s="10" t="s">
        <v>29</v>
      </c>
      <c r="C57" s="11">
        <v>46303</v>
      </c>
      <c r="D57" s="20">
        <v>2</v>
      </c>
      <c r="E57" s="17"/>
      <c r="G57" s="10" t="s">
        <v>24</v>
      </c>
      <c r="H57" s="10">
        <v>1</v>
      </c>
      <c r="I57" s="10">
        <f t="shared" si="3"/>
        <v>0</v>
      </c>
    </row>
    <row r="58" spans="2:15">
      <c r="B58" s="10" t="s">
        <v>29</v>
      </c>
      <c r="C58" s="11">
        <v>46303</v>
      </c>
      <c r="D58" s="20">
        <v>2</v>
      </c>
      <c r="E58" s="17"/>
      <c r="G58" s="10" t="s">
        <v>29</v>
      </c>
      <c r="H58" s="10">
        <v>1</v>
      </c>
      <c r="I58" s="10">
        <f t="shared" si="3"/>
        <v>0</v>
      </c>
    </row>
    <row r="59" spans="2:15">
      <c r="B59" s="10" t="s">
        <v>37</v>
      </c>
      <c r="C59" s="11">
        <v>46307</v>
      </c>
      <c r="D59" s="20">
        <v>1</v>
      </c>
      <c r="E59" s="17"/>
      <c r="G59" s="10" t="s">
        <v>29</v>
      </c>
      <c r="H59" s="10">
        <v>3</v>
      </c>
      <c r="I59" s="10">
        <f t="shared" si="3"/>
        <v>0</v>
      </c>
    </row>
    <row r="60" spans="2:15">
      <c r="B60" s="10" t="s">
        <v>37</v>
      </c>
      <c r="C60" s="11">
        <v>46307</v>
      </c>
      <c r="D60" s="20">
        <v>1</v>
      </c>
      <c r="E60" s="17"/>
      <c r="G60" s="10" t="s">
        <v>37</v>
      </c>
      <c r="H60" s="10">
        <v>2</v>
      </c>
      <c r="I60" s="10">
        <f t="shared" si="3"/>
        <v>0</v>
      </c>
    </row>
    <row r="61" spans="2:15">
      <c r="C61" s="5"/>
      <c r="G61" s="10" t="s">
        <v>37</v>
      </c>
      <c r="H61" s="10">
        <v>4</v>
      </c>
      <c r="I61" s="10">
        <f t="shared" si="3"/>
        <v>0</v>
      </c>
    </row>
  </sheetData>
  <mergeCells count="17">
    <mergeCell ref="B25:E25"/>
    <mergeCell ref="G25:K25"/>
    <mergeCell ref="M25:O25"/>
    <mergeCell ref="C1:N1"/>
    <mergeCell ref="C10:N10"/>
    <mergeCell ref="C12:N12"/>
    <mergeCell ref="C22:N22"/>
    <mergeCell ref="C23:N23"/>
    <mergeCell ref="B52:D52"/>
    <mergeCell ref="G53:I53"/>
    <mergeCell ref="B31:D31"/>
    <mergeCell ref="G32:I32"/>
    <mergeCell ref="C43:N43"/>
    <mergeCell ref="C44:N44"/>
    <mergeCell ref="B46:E46"/>
    <mergeCell ref="M46:O46"/>
    <mergeCell ref="G46:J4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2026-10-22T22:19:54Z</dcterms:created>
  <dcterms:modified xsi:type="dcterms:W3CDTF">2026-10-23T00:17:38Z</dcterms:modified>
  <cp:category/>
  <cp:contentStatus/>
</cp:coreProperties>
</file>